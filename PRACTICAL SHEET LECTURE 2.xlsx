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lication of Information &amp; Communication Technologies\"/>
    </mc:Choice>
  </mc:AlternateContent>
  <xr:revisionPtr revIDLastSave="0" documentId="13_ncr:1_{FBB62E93-A09E-4BA8-9B08-F58BCCFF1054}" xr6:coauthVersionLast="47" xr6:coauthVersionMax="47" xr10:uidLastSave="{00000000-0000-0000-0000-000000000000}"/>
  <bookViews>
    <workbookView xWindow="-120" yWindow="-120" windowWidth="15600" windowHeight="11040" xr2:uid="{EED6B48F-BC04-414B-9742-66DC91D58C8A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G7" i="1"/>
  <c r="F7" i="1"/>
  <c r="E8" i="1"/>
  <c r="E9" i="1"/>
  <c r="H5" i="1"/>
  <c r="H6" i="1"/>
  <c r="H4" i="1"/>
  <c r="G5" i="1"/>
  <c r="G6" i="1"/>
  <c r="G4" i="1"/>
  <c r="E11" i="1"/>
  <c r="E10" i="1"/>
  <c r="F5" i="1"/>
  <c r="F6" i="1"/>
  <c r="F4" i="1"/>
</calcChain>
</file>

<file path=xl/sharedStrings.xml><?xml version="1.0" encoding="utf-8"?>
<sst xmlns="http://schemas.openxmlformats.org/spreadsheetml/2006/main" count="23" uniqueCount="20">
  <si>
    <t>Student Result Sheet</t>
  </si>
  <si>
    <t>Roll No</t>
  </si>
  <si>
    <t xml:space="preserve">Name </t>
  </si>
  <si>
    <t xml:space="preserve">Subject </t>
  </si>
  <si>
    <t>Total</t>
  </si>
  <si>
    <t>Percentage</t>
  </si>
  <si>
    <t xml:space="preserve">Result </t>
  </si>
  <si>
    <t>Maryam</t>
  </si>
  <si>
    <t>Programming</t>
  </si>
  <si>
    <t>Mujeeb</t>
  </si>
  <si>
    <t>Haroon</t>
  </si>
  <si>
    <t>Obtain Marks</t>
  </si>
  <si>
    <t>SUM</t>
  </si>
  <si>
    <t>AVG</t>
  </si>
  <si>
    <t>MIN</t>
  </si>
  <si>
    <t>MAX</t>
  </si>
  <si>
    <t>GRADE</t>
  </si>
  <si>
    <t>IF(D4&gt;=70,"A",IF(D4&gt;=60,"B",IF(D4&gt;=50,"C","Fail")))</t>
  </si>
  <si>
    <t xml:space="preserve">EQUAL </t>
  </si>
  <si>
    <t>Abdullah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</si>
</sst>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3" borderId="0" xfId="0" applyFill="1" applyBorder="1"/>
    <xf numFmtId="0" fontId="0" fillId="0" borderId="1" xfId="0" applyFont="1" applyFill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FEC8-2952-49EB-8230-EF8FE35E219D}">
  <dimension ref="A1:H13"/>
  <sheetViews>
    <sheetView tabSelected="1" zoomScale="140" zoomScaleNormal="140" workbookViewId="0">
      <selection activeCell="G10" sqref="G10"/>
    </sheetView>
  </sheetViews>
  <sheetFormatPr defaultRowHeight="15" x14ac:dyDescent="0.25"/>
  <cols>
    <col min="1" max="1" width="10.140625" customWidth="1"/>
    <col min="3" max="3" width="13.5703125" customWidth="1"/>
    <col min="4" max="4" width="17.28515625" customWidth="1"/>
    <col min="6" max="6" width="13.42578125" customWidth="1"/>
    <col min="7" max="7" width="11.85546875" customWidth="1"/>
    <col min="8" max="8" width="10.7109375" customWidth="1"/>
  </cols>
  <sheetData>
    <row r="1" spans="1:8" ht="35.25" customHeight="1" x14ac:dyDescent="0.25">
      <c r="A1" s="2" t="s">
        <v>0</v>
      </c>
      <c r="B1" s="3"/>
      <c r="C1" s="3"/>
      <c r="D1" s="3"/>
      <c r="E1" s="3"/>
      <c r="F1" s="3"/>
      <c r="G1" s="3"/>
      <c r="H1" s="4"/>
    </row>
    <row r="2" spans="1:8" ht="15" customHeight="1" x14ac:dyDescent="0.25">
      <c r="A2" s="5"/>
      <c r="B2" s="6"/>
      <c r="C2" s="6"/>
      <c r="D2" s="6"/>
      <c r="E2" s="6"/>
      <c r="F2" s="6"/>
      <c r="G2" s="6"/>
      <c r="H2" s="7"/>
    </row>
    <row r="3" spans="1:8" x14ac:dyDescent="0.25">
      <c r="A3" s="1" t="s">
        <v>1</v>
      </c>
      <c r="B3" s="1" t="s">
        <v>2</v>
      </c>
      <c r="C3" s="1" t="s">
        <v>3</v>
      </c>
      <c r="D3" s="1" t="s">
        <v>11</v>
      </c>
      <c r="E3" s="1" t="s">
        <v>4</v>
      </c>
      <c r="F3" s="1" t="s">
        <v>5</v>
      </c>
      <c r="G3" s="1" t="s">
        <v>6</v>
      </c>
      <c r="H3" s="1" t="s">
        <v>16</v>
      </c>
    </row>
    <row r="4" spans="1:8" x14ac:dyDescent="0.25">
      <c r="A4" s="1">
        <v>101</v>
      </c>
      <c r="B4" s="1" t="s">
        <v>7</v>
      </c>
      <c r="C4" s="1" t="s">
        <v>8</v>
      </c>
      <c r="D4" s="1">
        <v>75</v>
      </c>
      <c r="E4" s="1">
        <v>100</v>
      </c>
      <c r="F4" s="1">
        <f>D4*E4/100</f>
        <v>75</v>
      </c>
      <c r="G4" s="1" t="str">
        <f>IF(D4&gt;=50,"Pass","Fail")</f>
        <v>Pass</v>
      </c>
      <c r="H4" s="1" t="str">
        <f>IF(D4&gt;=70,"A",IF(D4&gt;=60,"B",IF(D4&gt;=50,"C","Fail")))</f>
        <v>A</v>
      </c>
    </row>
    <row r="5" spans="1:8" x14ac:dyDescent="0.25">
      <c r="A5" s="1">
        <v>102</v>
      </c>
      <c r="B5" s="1" t="s">
        <v>9</v>
      </c>
      <c r="C5" s="1" t="s">
        <v>8</v>
      </c>
      <c r="D5" s="1">
        <v>48</v>
      </c>
      <c r="E5" s="1">
        <v>100</v>
      </c>
      <c r="F5" s="1">
        <f>D5*E5/100</f>
        <v>48</v>
      </c>
      <c r="G5" s="1" t="str">
        <f>IF(D5&gt;=50,"Pass","Fail")</f>
        <v>Fail</v>
      </c>
      <c r="H5" s="1" t="str">
        <f>IF(D5&gt;=70,"A",IF(D5&gt;=60,"B",IF(D5&gt;=50,"C","F")))</f>
        <v>F</v>
      </c>
    </row>
    <row r="6" spans="1:8" x14ac:dyDescent="0.25">
      <c r="A6" s="1">
        <v>103</v>
      </c>
      <c r="B6" s="1" t="s">
        <v>10</v>
      </c>
      <c r="C6" s="1" t="s">
        <v>8</v>
      </c>
      <c r="D6" s="1">
        <v>51</v>
      </c>
      <c r="E6" s="1">
        <v>100</v>
      </c>
      <c r="F6" s="1">
        <f>D6*E6/100</f>
        <v>51</v>
      </c>
      <c r="G6" s="1" t="str">
        <f>IF(D6&gt;=50,"Pass","Fail")</f>
        <v>Pass</v>
      </c>
      <c r="H6" s="1" t="str">
        <f>IF(D6&gt;=70,"A",IF(D6&gt;=60,"B",IF(D6&gt;=50,"C","Fail")))</f>
        <v>C</v>
      </c>
    </row>
    <row r="7" spans="1:8" x14ac:dyDescent="0.25">
      <c r="A7" s="9">
        <v>104</v>
      </c>
      <c r="B7" s="9" t="s">
        <v>19</v>
      </c>
      <c r="C7" s="9" t="s">
        <v>8</v>
      </c>
      <c r="D7" s="9">
        <v>55</v>
      </c>
      <c r="E7" s="9">
        <v>100</v>
      </c>
      <c r="F7" s="1">
        <f>D7*E7/100</f>
        <v>55</v>
      </c>
      <c r="G7" s="1" t="str">
        <f>IF(D7&gt;=50,"Pass","Fail")</f>
        <v>Pass</v>
      </c>
      <c r="H7" s="1" t="str">
        <f>IF(D7&gt;=70,"A",IF(D7&gt;=60,"B",IF(D7&gt;=50,"C","Fail")))</f>
        <v>C</v>
      </c>
    </row>
    <row r="8" spans="1:8" x14ac:dyDescent="0.25">
      <c r="A8" s="9"/>
      <c r="B8" s="9"/>
      <c r="C8" s="9"/>
      <c r="D8" s="9" t="s">
        <v>12</v>
      </c>
      <c r="E8" s="9">
        <f>SUM(E4:E7)</f>
        <v>400</v>
      </c>
      <c r="F8" s="9"/>
      <c r="G8" s="9"/>
      <c r="H8" s="9"/>
    </row>
    <row r="9" spans="1:8" x14ac:dyDescent="0.25">
      <c r="A9" s="9"/>
      <c r="B9" s="9"/>
      <c r="C9" s="9"/>
      <c r="D9" s="9" t="s">
        <v>13</v>
      </c>
      <c r="E9" s="9">
        <f>AVERAGE(E4:E7)</f>
        <v>100</v>
      </c>
      <c r="F9" s="9"/>
      <c r="G9" s="9"/>
      <c r="H9" s="9"/>
    </row>
    <row r="10" spans="1:8" x14ac:dyDescent="0.25">
      <c r="A10" s="9"/>
      <c r="B10" s="9"/>
      <c r="C10" s="9"/>
      <c r="D10" s="9" t="s">
        <v>14</v>
      </c>
      <c r="E10" s="9">
        <f>MIN(D4:D6)</f>
        <v>48</v>
      </c>
      <c r="F10" s="9"/>
      <c r="G10" s="9"/>
      <c r="H10" s="9"/>
    </row>
    <row r="11" spans="1:8" x14ac:dyDescent="0.25">
      <c r="A11" s="9"/>
      <c r="B11" s="9"/>
      <c r="C11" s="9"/>
      <c r="D11" s="9" t="s">
        <v>15</v>
      </c>
      <c r="E11" s="9">
        <f>MAX(D4:D6)</f>
        <v>75</v>
      </c>
      <c r="F11" s="9"/>
      <c r="G11" s="9"/>
      <c r="H11" s="9"/>
    </row>
    <row r="13" spans="1:8" x14ac:dyDescent="0.25">
      <c r="D13" s="8" t="s">
        <v>18</v>
      </c>
      <c r="E13" t="s">
        <v>17</v>
      </c>
    </row>
  </sheetData>
  <autoFilter ref="A1:H6" xr:uid="{A9E1FEC8-2952-49EB-8230-EF8FE35E219D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sortState xmlns:xlrd2="http://schemas.microsoft.com/office/spreadsheetml/2017/richdata2" ref="A4:H6">
    <sortCondition ref="A3:A6"/>
  </sortState>
  <mergeCells count="1">
    <mergeCell ref="A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1033-88B9-4B99-89BA-618924979F5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8906A-9BA9-4B0E-8537-5CBFF75E854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51AA-E855-439D-B6B3-73CC5C4FDA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2025-12-16T04:43:43Z</dcterms:created>
  <dcterms:modified xsi:type="dcterms:W3CDTF">2025-12-16T05:16:58Z</dcterms:modified>
</cp:coreProperties>
</file>